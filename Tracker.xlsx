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szitalorinc/Desktop/Learning Heroes/Personal files/Cripto/"/>
    </mc:Choice>
  </mc:AlternateContent>
  <xr:revisionPtr revIDLastSave="0" documentId="13_ncr:1_{12167A66-C52B-3545-9C71-4A189BA241F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Hoja 1" sheetId="1" r:id="rId1"/>
    <sheet name="Reglas del siste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H6" i="1"/>
  <c r="G6" i="1"/>
  <c r="F6" i="1"/>
  <c r="E6" i="1"/>
  <c r="I5" i="1"/>
  <c r="H5" i="1"/>
  <c r="G5" i="1"/>
  <c r="F5" i="1"/>
  <c r="E5" i="1"/>
  <c r="I4" i="1"/>
  <c r="H4" i="1"/>
  <c r="G4" i="1"/>
  <c r="F4" i="1"/>
  <c r="E4" i="1"/>
  <c r="I3" i="1"/>
  <c r="H3" i="1"/>
  <c r="G3" i="1"/>
  <c r="F3" i="1"/>
  <c r="E3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<sst xmlns="http://schemas.openxmlformats.org/spreadsheetml/2006/main" count="29" uniqueCount="25">
  <si>
    <t>Activo</t>
  </si>
  <si>
    <t>Cantidad</t>
  </si>
  <si>
    <t>Precio_Entrada</t>
  </si>
  <si>
    <t>Precio_Actual</t>
  </si>
  <si>
    <t>%_Cambio</t>
  </si>
  <si>
    <t>Valor_Actual</t>
  </si>
  <si>
    <t>Nivel_+40%</t>
  </si>
  <si>
    <t>Nivel_+80%</t>
  </si>
  <si>
    <t>Nivel_+120%</t>
  </si>
  <si>
    <t>%_Ya_Vendido</t>
  </si>
  <si>
    <t>Proxima_Accion</t>
  </si>
  <si>
    <t>Bloque</t>
  </si>
  <si>
    <t>BTC</t>
  </si>
  <si>
    <t>ETH</t>
  </si>
  <si>
    <t>XRP</t>
  </si>
  <si>
    <t>XLM</t>
  </si>
  <si>
    <t>ALGO</t>
  </si>
  <si>
    <t>REGLAS DEL SISTEMA</t>
  </si>
  <si>
    <t>Nunca vender 100% salvo ruptura macro</t>
  </si>
  <si>
    <t>No promediar activos en tendencia bajista estructural</t>
  </si>
  <si>
    <t>#ERROR!</t>
  </si>
  <si>
    <t>Notas del Mercado</t>
  </si>
  <si>
    <t>Alcista</t>
  </si>
  <si>
    <t>Macro Bajista</t>
  </si>
  <si>
    <t>Bajista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</si>
</sst>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"/>
  <sheetViews>
    <sheetView tabSelected="1" zoomScale="180" zoomScaleNormal="180" workbookViewId="0">
      <selection activeCell="E18" sqref="E18"/>
    </sheetView>
  </sheetViews>
  <sheetFormatPr baseColWidth="10" defaultColWidth="12.6640625" defaultRowHeight="15.75" customHeight="1" x14ac:dyDescent="0.15"/>
  <sheetData>
    <row r="1" spans="1:1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</v>
      </c>
    </row>
    <row r="2" spans="1:13" ht="15.75" customHeight="1" x14ac:dyDescent="0.15">
      <c r="A2" s="1" t="s">
        <v>12</v>
      </c>
      <c r="B2">
        <v>1.89784E-3</v>
      </c>
      <c r="C2" s="3">
        <v>103.34</v>
      </c>
      <c r="D2">
        <v>67.89</v>
      </c>
      <c r="E2" s="1">
        <f t="shared" ref="E2:E6" si="0">(D2-C2)/C2</f>
        <v>-0.34304238436229922</v>
      </c>
      <c r="F2" s="1">
        <f t="shared" ref="F2:F6" si="1">B2*D2</f>
        <v>0.12884435760000001</v>
      </c>
      <c r="G2" s="1">
        <f t="shared" ref="G2:G6" si="2">C2*1.4</f>
        <v>144.67599999999999</v>
      </c>
      <c r="H2" s="1">
        <f t="shared" ref="H2:H6" si="3">C2*1.8</f>
        <v>186.012</v>
      </c>
      <c r="I2" s="1">
        <f t="shared" ref="I2:I6" si="4">C2*2.2</f>
        <v>227.34800000000001</v>
      </c>
      <c r="M2" s="2" t="s">
        <v>22</v>
      </c>
    </row>
    <row r="3" spans="1:13" ht="15.75" customHeight="1" x14ac:dyDescent="0.15">
      <c r="A3" s="1" t="s">
        <v>13</v>
      </c>
      <c r="B3">
        <v>2.2257099999999998E-2</v>
      </c>
      <c r="C3">
        <v>2726</v>
      </c>
      <c r="D3">
        <v>1973</v>
      </c>
      <c r="E3" s="1">
        <f t="shared" si="0"/>
        <v>-0.27622890682318413</v>
      </c>
      <c r="F3" s="1">
        <f t="shared" si="1"/>
        <v>43.913258299999995</v>
      </c>
      <c r="G3" s="1">
        <f t="shared" si="2"/>
        <v>3816.3999999999996</v>
      </c>
      <c r="H3" s="1">
        <f t="shared" si="3"/>
        <v>4906.8</v>
      </c>
      <c r="I3" s="1">
        <f t="shared" si="4"/>
        <v>5997.2000000000007</v>
      </c>
      <c r="M3" s="2" t="s">
        <v>22</v>
      </c>
    </row>
    <row r="4" spans="1:13" ht="15.75" customHeight="1" x14ac:dyDescent="0.15">
      <c r="A4" s="1" t="s">
        <v>14</v>
      </c>
      <c r="B4">
        <v>72.105599999999995</v>
      </c>
      <c r="C4">
        <v>2.31</v>
      </c>
      <c r="D4" s="2">
        <v>1.36</v>
      </c>
      <c r="E4" s="1">
        <f t="shared" si="0"/>
        <v>-0.41125541125541121</v>
      </c>
      <c r="F4" s="1">
        <f t="shared" si="1"/>
        <v>98.063615999999996</v>
      </c>
      <c r="G4" s="1">
        <f t="shared" si="2"/>
        <v>3.234</v>
      </c>
      <c r="H4" s="1">
        <f t="shared" si="3"/>
        <v>4.1580000000000004</v>
      </c>
      <c r="I4" s="1">
        <f t="shared" si="4"/>
        <v>5.0820000000000007</v>
      </c>
      <c r="M4" s="2" t="s">
        <v>22</v>
      </c>
    </row>
    <row r="5" spans="1:13" ht="15.75" customHeight="1" x14ac:dyDescent="0.15">
      <c r="A5" s="1" t="s">
        <v>15</v>
      </c>
      <c r="B5">
        <v>83.382800000000003</v>
      </c>
      <c r="C5">
        <v>0.251</v>
      </c>
      <c r="D5" s="2">
        <v>0.15049999999999999</v>
      </c>
      <c r="E5" s="1">
        <f t="shared" si="0"/>
        <v>-0.40039840637450202</v>
      </c>
      <c r="F5" s="1">
        <f t="shared" si="1"/>
        <v>12.549111399999999</v>
      </c>
      <c r="G5" s="1">
        <f t="shared" si="2"/>
        <v>0.35139999999999999</v>
      </c>
      <c r="H5" s="1">
        <f t="shared" si="3"/>
        <v>0.45180000000000003</v>
      </c>
      <c r="I5" s="1">
        <f t="shared" si="4"/>
        <v>0.55220000000000002</v>
      </c>
      <c r="M5" s="2" t="s">
        <v>23</v>
      </c>
    </row>
    <row r="6" spans="1:13" ht="15.75" customHeight="1" x14ac:dyDescent="0.15">
      <c r="A6" s="1" t="s">
        <v>16</v>
      </c>
      <c r="B6">
        <v>116.081</v>
      </c>
      <c r="C6">
        <v>0.17599999999999999</v>
      </c>
      <c r="D6" s="2">
        <v>8.3199999999999996E-2</v>
      </c>
      <c r="E6" s="1">
        <f t="shared" si="0"/>
        <v>-0.52727272727272723</v>
      </c>
      <c r="F6" s="1">
        <f t="shared" si="1"/>
        <v>9.6579391999999995</v>
      </c>
      <c r="G6" s="1">
        <f t="shared" si="2"/>
        <v>0.24639999999999998</v>
      </c>
      <c r="H6" s="1">
        <f t="shared" si="3"/>
        <v>0.31679999999999997</v>
      </c>
      <c r="I6" s="1">
        <f t="shared" si="4"/>
        <v>0.38719999999999999</v>
      </c>
      <c r="M6" s="2" t="s">
        <v>24</v>
      </c>
    </row>
    <row r="10" spans="1:13" ht="15.75" customHeight="1" x14ac:dyDescent="0.15">
      <c r="B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7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17</v>
      </c>
    </row>
    <row r="3" spans="1:1" ht="15.75" customHeight="1" x14ac:dyDescent="0.15">
      <c r="A3" s="1" t="s">
        <v>20</v>
      </c>
    </row>
    <row r="4" spans="1:1" ht="15.75" customHeight="1" x14ac:dyDescent="0.15">
      <c r="A4" s="1" t="s">
        <v>20</v>
      </c>
    </row>
    <row r="5" spans="1:1" ht="15.75" customHeight="1" x14ac:dyDescent="0.15">
      <c r="A5" s="1" t="s">
        <v>20</v>
      </c>
    </row>
    <row r="6" spans="1:1" ht="15.75" customHeight="1" x14ac:dyDescent="0.15">
      <c r="A6" s="1" t="s">
        <v>18</v>
      </c>
    </row>
    <row r="7" spans="1:1" ht="15.75" customHeight="1" x14ac:dyDescent="0.15">
      <c r="A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 1</vt:lpstr>
      <vt:lpstr>Reglas del sistea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Melinda Tamás</cp:lastModifiedBy>
  <dcterms:created xsi:type="dcterms:W3CDTF">2026-03-01T11:00:28Z</dcterms:created>
  <dcterms:modified xsi:type="dcterms:W3CDTF">2026-03-08T11:30:33Z</dcterms:modified>
</cp:coreProperties>
</file>